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본가정" state="visible" r:id="rId4"/>
    <sheet sheetId="2" name="카테고리마스터" state="visible" r:id="rId5"/>
    <sheet sheetId="3" name="셀러마스터" state="visible" r:id="rId6"/>
    <sheet sheetId="4" name="채널마스터" state="visible" r:id="rId7"/>
    <sheet sheetId="5" name="공동구매마스터" state="visible" r:id="rId8"/>
    <sheet sheetId="6" name="시장수요트래킹" state="visible" r:id="rId9"/>
    <sheet sheetId="7" name="예측점수" state="visible" r:id="rId10"/>
    <sheet sheetId="8" name="대시보드" state="visible" r:id="rId11"/>
  </sheets>
  <calcPr calcId="171027"/>
</workbook>
</file>

<file path=xl/sharedStrings.xml><?xml version="1.0" encoding="utf-8"?>
<sst xmlns="http://schemas.openxmlformats.org/spreadsheetml/2006/main" count="258" uniqueCount="190">
  <si>
    <t>기본가정</t>
  </si>
  <si>
    <t>BEAUNESS 공동구매 모니터링 — 예측점수 가중치 및 기준값 (담당: 사업부 리더)</t>
  </si>
  <si>
    <t>항목</t>
  </si>
  <si>
    <t>값</t>
  </si>
  <si>
    <t>설명</t>
  </si>
  <si>
    <t>기준연월</t>
  </si>
  <si>
    <t>2026-08</t>
  </si>
  <si>
    <t>YYYY-MM 형식</t>
  </si>
  <si>
    <t>셀러영향력점수 가중치</t>
  </si>
  <si>
    <t>예측점수 = 셀러영향력×w1 + 공구모멘텀×w2 + 시장수요×w3</t>
  </si>
  <si>
    <t>공구모멘텀점수 가중치</t>
  </si>
  <si>
    <t>시장수요점수 가중치</t>
  </si>
  <si>
    <t>3개 가중치 합계는 1.0 이어야 합니다</t>
  </si>
  <si>
    <t>가중치 합계</t>
  </si>
  <si>
    <t>카테고리마스터</t>
  </si>
  <si>
    <t>신규 제품 카테고리 추가 시 먼저 이 시트에 등록 (담당: 사업부)</t>
  </si>
  <si>
    <t>카테고리ID</t>
  </si>
  <si>
    <t>대분류</t>
  </si>
  <si>
    <t>소분류</t>
  </si>
  <si>
    <t>비고</t>
  </si>
  <si>
    <t>CAT01</t>
  </si>
  <si>
    <t>뷰티</t>
  </si>
  <si>
    <t>스킨케어</t>
  </si>
  <si>
    <t>CAT02</t>
  </si>
  <si>
    <t>색조/헤어</t>
  </si>
  <si>
    <t>CAT03</t>
  </si>
  <si>
    <t>헬스</t>
  </si>
  <si>
    <t>이너뷰티/건강기능식품</t>
  </si>
  <si>
    <t>CAT04</t>
  </si>
  <si>
    <t>다이어트/식단</t>
  </si>
  <si>
    <t>CAT05</t>
  </si>
  <si>
    <t>생활</t>
  </si>
  <si>
    <t>유아동</t>
  </si>
  <si>
    <t>CAT06</t>
  </si>
  <si>
    <t>주방/생활가전</t>
  </si>
  <si>
    <t>CAT07</t>
  </si>
  <si>
    <t>식품</t>
  </si>
  <si>
    <t>간편식/디저트</t>
  </si>
  <si>
    <t>CAT08</t>
  </si>
  <si>
    <t>패션</t>
  </si>
  <si>
    <t>의류/잡화</t>
  </si>
  <si>
    <t>셀러마스터</t>
  </si>
  <si>
    <t>공동구매를 진행하는 셀러(인플루언서) 등록 (담당: 마케팅팀)</t>
  </si>
  <si>
    <t>셀러ID</t>
  </si>
  <si>
    <t>셀러명</t>
  </si>
  <si>
    <t>대표플랫폼</t>
  </si>
  <si>
    <t>인스타그램 핸들</t>
  </si>
  <si>
    <t>유튜브 채널URL</t>
  </si>
  <si>
    <t>팔로워수(IG)</t>
  </si>
  <si>
    <t>구독자수(YT)</t>
  </si>
  <si>
    <t>등급</t>
  </si>
  <si>
    <t>등급점수(자동)</t>
  </si>
  <si>
    <t>주요카테고리ID</t>
  </si>
  <si>
    <t>소속MCN/연락처</t>
  </si>
  <si>
    <t>SEL01</t>
  </si>
  <si>
    <t>뷰니스언니</t>
  </si>
  <si>
    <t>인스타그램</t>
  </si>
  <si>
    <t>@beauness_unni</t>
  </si>
  <si>
    <t>매크로</t>
  </si>
  <si>
    <t>자체</t>
  </si>
  <si>
    <t>SEL02</t>
  </si>
  <si>
    <t>헬시한윤아</t>
  </si>
  <si>
    <t>유튜브</t>
  </si>
  <si>
    <t>youtube.com/@healthyyuna</t>
  </si>
  <si>
    <t>메가</t>
  </si>
  <si>
    <t>ABC MCN</t>
  </si>
  <si>
    <t>SEL03</t>
  </si>
  <si>
    <t>육아템민지</t>
  </si>
  <si>
    <t>@mommy_minji</t>
  </si>
  <si>
    <t>마이크로</t>
  </si>
  <si>
    <t>SEL04</t>
  </si>
  <si>
    <t>다이어터소희</t>
  </si>
  <si>
    <t>@sohee_diet</t>
  </si>
  <si>
    <t>나노</t>
  </si>
  <si>
    <t>SEL05</t>
  </si>
  <si>
    <t>리빙템수아</t>
  </si>
  <si>
    <t>youtube.com/@livingsua</t>
  </si>
  <si>
    <t>XYZ MCN</t>
  </si>
  <si>
    <t>채널마스터</t>
  </si>
  <si>
    <t>공동구매가 실제로 열리는 채널(URL) 등록 (담당: 마케팅팀)</t>
  </si>
  <si>
    <t>채널ID</t>
  </si>
  <si>
    <t>채널유형</t>
  </si>
  <si>
    <t>채널명</t>
  </si>
  <si>
    <t>URL</t>
  </si>
  <si>
    <t>CH01</t>
  </si>
  <si>
    <t>뷰니스언니 공구스토리</t>
  </si>
  <si>
    <t>instagram.com/beauness_unni</t>
  </si>
  <si>
    <t>CH02</t>
  </si>
  <si>
    <t>헬시한윤아 커뮤니티탭</t>
  </si>
  <si>
    <t>youtube.com/@healthyyuna/community</t>
  </si>
  <si>
    <t>CH03</t>
  </si>
  <si>
    <t>네이버카페</t>
  </si>
  <si>
    <t>육아템민지 카페 공구게시판</t>
  </si>
  <si>
    <t>cafe.naver.com/mommyminji</t>
  </si>
  <si>
    <t>CH04</t>
  </si>
  <si>
    <t>오픈채팅</t>
  </si>
  <si>
    <t>다이어터소희 공구방</t>
  </si>
  <si>
    <t>open.kakao.com/o/soheediet</t>
  </si>
  <si>
    <t>CH05</t>
  </si>
  <si>
    <t>자사몰</t>
  </si>
  <si>
    <t>뷰니스 공식몰 공구관</t>
  </si>
  <si>
    <t>beauness.co.kr/gonggu</t>
  </si>
  <si>
    <t>공동구매마스터</t>
  </si>
  <si>
    <t>전체 공동구매 건 등록 — 신규 발견 즉시 입력 (담당: 전 담당자)</t>
  </si>
  <si>
    <t>No</t>
  </si>
  <si>
    <t>제품명(SKU)</t>
  </si>
  <si>
    <t>진행채널ID</t>
  </si>
  <si>
    <t>오픈일</t>
  </si>
  <si>
    <t>마감일</t>
  </si>
  <si>
    <t>상태(자동)</t>
  </si>
  <si>
    <t>정가</t>
  </si>
  <si>
    <t>판매가(공구가)</t>
  </si>
  <si>
    <t>할인율(자동)</t>
  </si>
  <si>
    <t>목표판매수량</t>
  </si>
  <si>
    <t>실판매수량</t>
  </si>
  <si>
    <t>예상매출액(자동)</t>
  </si>
  <si>
    <t>실매출액(자동)</t>
  </si>
  <si>
    <t>수수료율</t>
  </si>
  <si>
    <t>예상순이익(자동)</t>
  </si>
  <si>
    <t>셀러등급점수(자동)</t>
  </si>
  <si>
    <t>데이터출처</t>
  </si>
  <si>
    <t>등록자</t>
  </si>
  <si>
    <t>등록일</t>
  </si>
  <si>
    <t>콜라겐 이너샷 30포</t>
  </si>
  <si>
    <t>2026-06-01</t>
  </si>
  <si>
    <t>2026-06-10</t>
  </si>
  <si>
    <t>수동입력</t>
  </si>
  <si>
    <t>김마케터</t>
  </si>
  <si>
    <t>2026-05-28</t>
  </si>
  <si>
    <t>유아 실리콘 식판 세트</t>
  </si>
  <si>
    <t>2026-07-15</t>
  </si>
  <si>
    <t>2026-07-22</t>
  </si>
  <si>
    <t>이담당</t>
  </si>
  <si>
    <t>2026-07-10</t>
  </si>
  <si>
    <t>저당 단백질 그래놀라</t>
  </si>
  <si>
    <t>2026-08-10</t>
  </si>
  <si>
    <t>2026-08-20</t>
  </si>
  <si>
    <t>박사원</t>
  </si>
  <si>
    <t>2026-08-05</t>
  </si>
  <si>
    <t>수분 진정 크림 3종</t>
  </si>
  <si>
    <t>2026-08-30</t>
  </si>
  <si>
    <t>2026-08-18</t>
  </si>
  <si>
    <t>무선 스틱 청소기</t>
  </si>
  <si>
    <t>2026-09-05</t>
  </si>
  <si>
    <t>2026-09-15</t>
  </si>
  <si>
    <t>2026-08-22</t>
  </si>
  <si>
    <t>이너뷰티 콤부차 2박스</t>
  </si>
  <si>
    <t>2026-09-20</t>
  </si>
  <si>
    <t>2026-09-30</t>
  </si>
  <si>
    <t>2026-08-24</t>
  </si>
  <si>
    <t>시장수요트래킹</t>
  </si>
  <si>
    <t>오픈마켓/홈쇼핑/검색트렌드 등 외부 수요 신호 기록 — 예측점수 산출에 사용 (담당: 마케팅/사업개발)</t>
  </si>
  <si>
    <t>제품/키워드</t>
  </si>
  <si>
    <t>지표유형</t>
  </si>
  <si>
    <t>수요지수(1~100)</t>
  </si>
  <si>
    <t>수집일</t>
  </si>
  <si>
    <t>콜라겐</t>
  </si>
  <si>
    <t>검색트렌드</t>
  </si>
  <si>
    <t>네이버 데이터랩</t>
  </si>
  <si>
    <t>검색량지수</t>
  </si>
  <si>
    <t>무선청소기</t>
  </si>
  <si>
    <t>오픈마켓</t>
  </si>
  <si>
    <t>쿠팡 베스트</t>
  </si>
  <si>
    <t>베스트순위 환산</t>
  </si>
  <si>
    <t>2026-08-21</t>
  </si>
  <si>
    <t>단백질 그래놀라</t>
  </si>
  <si>
    <t>수분크림</t>
  </si>
  <si>
    <t>홈쇼핑</t>
  </si>
  <si>
    <t>GS홈쇼핑 편성</t>
  </si>
  <si>
    <t>방송매출 환산</t>
  </si>
  <si>
    <t>2026-08-19</t>
  </si>
  <si>
    <t>유아 식판</t>
  </si>
  <si>
    <t>네이버쇼핑</t>
  </si>
  <si>
    <t>인기도순위 환산</t>
  </si>
  <si>
    <t>예측점수</t>
  </si>
  <si>
    <t>카테고리별 히트 예상 점수 — 전체 수식 자동계산 (직접 입력 금지)</t>
  </si>
  <si>
    <t>카테고리명</t>
  </si>
  <si>
    <t>셀러영향력점수</t>
  </si>
  <si>
    <t>공구모멘텀점수</t>
  </si>
  <si>
    <t>시장수요점수</t>
  </si>
  <si>
    <t>종합히트예상점수</t>
  </si>
  <si>
    <t>대시보드</t>
  </si>
  <si>
    <t>KPI 요약 (직접 입력 금지, 상세 화면은 웹 대시보드 이용)</t>
  </si>
  <si>
    <t>지표</t>
  </si>
  <si>
    <t>진행중 공구 수</t>
  </si>
  <si>
    <t>예정 공구 수</t>
  </si>
  <si>
    <t>종료 공구 수</t>
  </si>
  <si>
    <t>등록 셀러 수</t>
  </si>
  <si>
    <t>이번달 누적 실매출액</t>
  </si>
  <si>
    <t>히트예상 S등급 카테고리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</si>
</sst>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YYYY-MM-DD"/>
    <numFmt numFmtId="166" formatCode="#,##0&quot;원&quot;"/>
    <numFmt numFmtId="167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color rgb="FF595959"/>
      <sz val="9"/>
      <name val="맑은 고딕"/>
    </font>
    <font>
      <b/>
      <color rgb="FFFFFFFF"/>
      <sz val="10"/>
      <name val="맑은 고딕"/>
    </font>
    <font>
      <color rgb="FF000000"/>
      <sz val="10"/>
      <name val="맑은 고딕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ACD"/>
      </patternFill>
    </fill>
    <fill>
      <patternFill patternType="solid">
        <fgColor rgb="FFDDEE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7" fontId="4" fillId="6" borderId="1" xfId="0" applyNumberFormat="1" applyFont="1" applyFill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b/>
      </font>
      <fill>
        <patternFill patternType="solid">
          <fgColor rgb="FFFFB3B3"/>
          <bgColor rgb="FFFFB3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8"/>
  <sheetFormatPr defaultRowHeight="15" outlineLevelRow="0" outlineLevelCol="0" x14ac:dyDescent="55"/>
  <cols>
    <col min="1" max="1" width="24" customWidth="1"/>
    <col min="2" max="2" width="14" customWidth="1"/>
    <col min="3" max="3" width="55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32" customHeight="1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4" t="s">
        <v>5</v>
      </c>
      <c r="B4" s="5" t="s">
        <v>6</v>
      </c>
      <c r="C4" s="6" t="s">
        <v>7</v>
      </c>
    </row>
    <row r="5" spans="1:3" x14ac:dyDescent="0.25">
      <c r="A5" s="4" t="s">
        <v>8</v>
      </c>
      <c r="B5" s="7">
        <v>0.4</v>
      </c>
      <c r="C5" s="6" t="s">
        <v>9</v>
      </c>
    </row>
    <row r="6" spans="1:3" x14ac:dyDescent="0.25">
      <c r="A6" s="4" t="s">
        <v>10</v>
      </c>
      <c r="B6" s="7">
        <v>0.3</v>
      </c>
      <c r="C6" s="6"/>
    </row>
    <row r="7" spans="1:3" x14ac:dyDescent="0.25">
      <c r="A7" s="4" t="s">
        <v>11</v>
      </c>
      <c r="B7" s="7">
        <v>0.3</v>
      </c>
      <c r="C7" s="6" t="s">
        <v>12</v>
      </c>
    </row>
    <row r="8" spans="1:2" x14ac:dyDescent="0.25">
      <c r="A8" s="4" t="s">
        <v>13</v>
      </c>
      <c r="B8" s="8">
        <f>SUM(B5:B7)</f>
      </c>
    </row>
  </sheetData>
  <mergeCells count="2">
    <mergeCell ref="A1:D1"/>
    <mergeCell ref="A2:D2"/>
  </mergeCells>
  <conditionalFormatting sqref="B8">
    <cfRule type="cellIs" dxfId="0" priority="1" operator="notEqual">
      <formula>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D11"/>
  <sheetFormatPr defaultRowHeight="15" outlineLevelRow="0" outlineLevelCol="0" x14ac:dyDescent="55"/>
  <cols>
    <col min="1" max="1" width="12" customWidth="1"/>
    <col min="2" max="2" width="14" customWidth="1"/>
    <col min="3" max="3" width="24" customWidth="1"/>
    <col min="4" max="4" width="30" customWidth="1"/>
  </cols>
  <sheetData>
    <row r="1" ht="28" customHeight="1" spans="1:4" x14ac:dyDescent="0.25">
      <c r="A1" s="1" t="s">
        <v>14</v>
      </c>
      <c r="B1" s="1"/>
      <c r="C1" s="1"/>
      <c r="D1" s="1"/>
    </row>
    <row r="2" ht="16" customHeight="1" spans="1:4" x14ac:dyDescent="0.25">
      <c r="A2" s="2" t="s">
        <v>15</v>
      </c>
      <c r="B2" s="2"/>
      <c r="C2" s="2"/>
      <c r="D2" s="2"/>
    </row>
    <row r="3" ht="32" customHeight="1" spans="1:4" x14ac:dyDescent="0.25">
      <c r="A3" s="3" t="s">
        <v>16</v>
      </c>
      <c r="B3" s="3" t="s">
        <v>17</v>
      </c>
      <c r="C3" s="3" t="s">
        <v>18</v>
      </c>
      <c r="D3" s="3" t="s">
        <v>19</v>
      </c>
    </row>
    <row r="4" spans="1:4" x14ac:dyDescent="0.25">
      <c r="A4" s="5" t="s">
        <v>20</v>
      </c>
      <c r="B4" s="9" t="s">
        <v>21</v>
      </c>
      <c r="C4" s="9" t="s">
        <v>22</v>
      </c>
      <c r="D4" s="9"/>
    </row>
    <row r="5" spans="1:4" x14ac:dyDescent="0.25">
      <c r="A5" s="5" t="s">
        <v>23</v>
      </c>
      <c r="B5" s="9" t="s">
        <v>21</v>
      </c>
      <c r="C5" s="9" t="s">
        <v>24</v>
      </c>
      <c r="D5" s="9"/>
    </row>
    <row r="6" spans="1:4" x14ac:dyDescent="0.25">
      <c r="A6" s="5" t="s">
        <v>25</v>
      </c>
      <c r="B6" s="9" t="s">
        <v>26</v>
      </c>
      <c r="C6" s="9" t="s">
        <v>27</v>
      </c>
      <c r="D6" s="9"/>
    </row>
    <row r="7" spans="1:4" x14ac:dyDescent="0.25">
      <c r="A7" s="5" t="s">
        <v>28</v>
      </c>
      <c r="B7" s="9" t="s">
        <v>26</v>
      </c>
      <c r="C7" s="9" t="s">
        <v>29</v>
      </c>
      <c r="D7" s="9"/>
    </row>
    <row r="8" spans="1:4" x14ac:dyDescent="0.25">
      <c r="A8" s="5" t="s">
        <v>30</v>
      </c>
      <c r="B8" s="9" t="s">
        <v>31</v>
      </c>
      <c r="C8" s="9" t="s">
        <v>32</v>
      </c>
      <c r="D8" s="9"/>
    </row>
    <row r="9" spans="1:4" x14ac:dyDescent="0.25">
      <c r="A9" s="5" t="s">
        <v>33</v>
      </c>
      <c r="B9" s="9" t="s">
        <v>31</v>
      </c>
      <c r="C9" s="9" t="s">
        <v>34</v>
      </c>
      <c r="D9" s="9"/>
    </row>
    <row r="10" spans="1:4" x14ac:dyDescent="0.25">
      <c r="A10" s="5" t="s">
        <v>35</v>
      </c>
      <c r="B10" s="9" t="s">
        <v>36</v>
      </c>
      <c r="C10" s="9" t="s">
        <v>37</v>
      </c>
      <c r="D10" s="9"/>
    </row>
    <row r="11" spans="1:4" x14ac:dyDescent="0.25">
      <c r="A11" s="5" t="s">
        <v>38</v>
      </c>
      <c r="B11" s="9" t="s">
        <v>39</v>
      </c>
      <c r="C11" s="9" t="s">
        <v>40</v>
      </c>
      <c r="D11" s="9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K8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8" customWidth="1"/>
    <col min="5" max="5" width="26" customWidth="1"/>
    <col min="6" max="7" width="12" customWidth="1"/>
    <col min="8" max="8" width="10" customWidth="1"/>
    <col min="9" max="9" width="12" customWidth="1"/>
    <col min="10" max="10" width="14" customWidth="1"/>
    <col min="11" max="11" width="16" customWidth="1"/>
  </cols>
  <sheetData>
    <row r="1" ht="28" customHeight="1" spans="1:11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</row>
    <row r="4" spans="1:10" x14ac:dyDescent="0.25">
      <c r="A4" s="9" t="s">
        <v>54</v>
      </c>
      <c r="B4" s="9" t="s">
        <v>55</v>
      </c>
      <c r="C4" s="9" t="s">
        <v>56</v>
      </c>
      <c r="D4" s="9" t="s">
        <v>57</v>
      </c>
      <c r="E4" s="9"/>
      <c r="F4" s="10">
        <v>85000</v>
      </c>
      <c r="G4" s="10">
        <v>0</v>
      </c>
      <c r="H4" s="9" t="s">
        <v>58</v>
      </c>
      <c r="I4" s="11">
        <f>IFS(H4="나노",25,H4="마이크로",50,H4="매크로",75,H4="메가",100,TRUE,0)</f>
      </c>
      <c r="J4" s="9" t="s">
        <v>59</v>
      </c>
    </row>
    <row r="5" spans="1:10" x14ac:dyDescent="0.25">
      <c r="A5" s="9" t="s">
        <v>60</v>
      </c>
      <c r="B5" s="9" t="s">
        <v>61</v>
      </c>
      <c r="C5" s="9" t="s">
        <v>62</v>
      </c>
      <c r="D5" s="9"/>
      <c r="E5" s="9" t="s">
        <v>63</v>
      </c>
      <c r="F5" s="10">
        <v>12000</v>
      </c>
      <c r="G5" s="10">
        <v>210000</v>
      </c>
      <c r="H5" s="9" t="s">
        <v>64</v>
      </c>
      <c r="I5" s="11">
        <f>IFS(H5="나노",25,H5="마이크로",50,H5="매크로",75,H5="메가",100,TRUE,0)</f>
      </c>
      <c r="J5" s="9" t="s">
        <v>65</v>
      </c>
    </row>
    <row r="6" spans="1:10" x14ac:dyDescent="0.25">
      <c r="A6" s="9" t="s">
        <v>66</v>
      </c>
      <c r="B6" s="9" t="s">
        <v>67</v>
      </c>
      <c r="C6" s="9" t="s">
        <v>56</v>
      </c>
      <c r="D6" s="9" t="s">
        <v>68</v>
      </c>
      <c r="E6" s="9"/>
      <c r="F6" s="10">
        <v>32000</v>
      </c>
      <c r="G6" s="10">
        <v>0</v>
      </c>
      <c r="H6" s="9" t="s">
        <v>69</v>
      </c>
      <c r="I6" s="11">
        <f>IFS(H6="나노",25,H6="마이크로",50,H6="매크로",75,H6="메가",100,TRUE,0)</f>
      </c>
      <c r="J6" s="9" t="s">
        <v>59</v>
      </c>
    </row>
    <row r="7" spans="1:10" x14ac:dyDescent="0.25">
      <c r="A7" s="9" t="s">
        <v>70</v>
      </c>
      <c r="B7" s="9" t="s">
        <v>71</v>
      </c>
      <c r="C7" s="9" t="s">
        <v>56</v>
      </c>
      <c r="D7" s="9" t="s">
        <v>72</v>
      </c>
      <c r="E7" s="9"/>
      <c r="F7" s="10">
        <v>8000</v>
      </c>
      <c r="G7" s="10">
        <v>0</v>
      </c>
      <c r="H7" s="9" t="s">
        <v>73</v>
      </c>
      <c r="I7" s="11">
        <f>IFS(H7="나노",25,H7="마이크로",50,H7="매크로",75,H7="메가",100,TRUE,0)</f>
      </c>
      <c r="J7" s="9" t="s">
        <v>59</v>
      </c>
    </row>
    <row r="8" spans="1:10" x14ac:dyDescent="0.25">
      <c r="A8" s="9" t="s">
        <v>74</v>
      </c>
      <c r="B8" s="9" t="s">
        <v>75</v>
      </c>
      <c r="C8" s="9" t="s">
        <v>62</v>
      </c>
      <c r="D8" s="9"/>
      <c r="E8" s="9" t="s">
        <v>76</v>
      </c>
      <c r="F8" s="10">
        <v>0</v>
      </c>
      <c r="G8" s="10">
        <v>45000</v>
      </c>
      <c r="H8" s="9" t="s">
        <v>69</v>
      </c>
      <c r="I8" s="11">
        <f>IFS(H8="나노",25,H8="마이크로",50,H8="매크로",75,H8="메가",100,TRUE,0)</f>
      </c>
      <c r="J8" s="9" t="s">
        <v>77</v>
      </c>
    </row>
  </sheetData>
  <mergeCells count="2">
    <mergeCell ref="A1:K1"/>
    <mergeCell ref="A2:K2"/>
  </mergeCells>
  <dataValidations count="2">
    <dataValidation type="list" allowBlank="1" sqref="H4:H200">
      <formula1>"나노,마이크로,매크로,메가"</formula1>
    </dataValidation>
    <dataValidation type="list" allowBlank="1" sqref="J4:J200">
      <formula1>카테고리마스터!$A$4:$A$100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D8"/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4" width="34" customWidth="1"/>
  </cols>
  <sheetData>
    <row r="1" ht="28" customHeight="1" spans="1:4" x14ac:dyDescent="0.25">
      <c r="A1" s="1" t="s">
        <v>78</v>
      </c>
      <c r="B1" s="1"/>
      <c r="C1" s="1"/>
      <c r="D1" s="1"/>
    </row>
    <row r="2" ht="16" customHeight="1" spans="1:4" x14ac:dyDescent="0.25">
      <c r="A2" s="2" t="s">
        <v>79</v>
      </c>
      <c r="B2" s="2"/>
      <c r="C2" s="2"/>
      <c r="D2" s="2"/>
    </row>
    <row r="3" ht="32" customHeight="1" spans="1:4" x14ac:dyDescent="0.25">
      <c r="A3" s="3" t="s">
        <v>80</v>
      </c>
      <c r="B3" s="3" t="s">
        <v>81</v>
      </c>
      <c r="C3" s="3" t="s">
        <v>82</v>
      </c>
      <c r="D3" s="3" t="s">
        <v>83</v>
      </c>
    </row>
    <row r="4" spans="1:4" x14ac:dyDescent="0.25">
      <c r="A4" s="5" t="s">
        <v>84</v>
      </c>
      <c r="B4" s="9" t="s">
        <v>56</v>
      </c>
      <c r="C4" s="9" t="s">
        <v>85</v>
      </c>
      <c r="D4" s="9" t="s">
        <v>86</v>
      </c>
    </row>
    <row r="5" spans="1:4" x14ac:dyDescent="0.25">
      <c r="A5" s="5" t="s">
        <v>87</v>
      </c>
      <c r="B5" s="9" t="s">
        <v>62</v>
      </c>
      <c r="C5" s="9" t="s">
        <v>88</v>
      </c>
      <c r="D5" s="9" t="s">
        <v>89</v>
      </c>
    </row>
    <row r="6" spans="1:4" x14ac:dyDescent="0.25">
      <c r="A6" s="5" t="s">
        <v>90</v>
      </c>
      <c r="B6" s="9" t="s">
        <v>91</v>
      </c>
      <c r="C6" s="9" t="s">
        <v>92</v>
      </c>
      <c r="D6" s="9" t="s">
        <v>93</v>
      </c>
    </row>
    <row r="7" spans="1:4" x14ac:dyDescent="0.25">
      <c r="A7" s="5" t="s">
        <v>94</v>
      </c>
      <c r="B7" s="9" t="s">
        <v>95</v>
      </c>
      <c r="C7" s="9" t="s">
        <v>96</v>
      </c>
      <c r="D7" s="9" t="s">
        <v>97</v>
      </c>
    </row>
    <row r="8" spans="1:4" x14ac:dyDescent="0.25">
      <c r="A8" s="5" t="s">
        <v>98</v>
      </c>
      <c r="B8" s="9" t="s">
        <v>99</v>
      </c>
      <c r="C8" s="9" t="s">
        <v>100</v>
      </c>
      <c r="D8" s="9" t="s">
        <v>101</v>
      </c>
    </row>
  </sheetData>
  <mergeCells count="2">
    <mergeCell ref="A1:D1"/>
    <mergeCell ref="A2:D2"/>
  </mergeCells>
  <dataValidations count="1">
    <dataValidation type="list" allowBlank="1" sqref="B4:B200">
      <formula1>"인스타그램,유튜브,네이버카페,오픈채팅,자사몰,기타"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V9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1" customWidth="1"/>
    <col min="4" max="4" width="10" customWidth="1"/>
    <col min="5" max="5" width="11" customWidth="1"/>
    <col min="6" max="7" width="12" customWidth="1"/>
    <col min="8" max="8" width="10" customWidth="1"/>
    <col min="9" max="9" width="11" customWidth="1"/>
    <col min="10" max="10" width="13" customWidth="1"/>
    <col min="11" max="13" width="11" customWidth="1"/>
    <col min="14" max="15" width="14" customWidth="1"/>
    <col min="17" max="17" width="14" customWidth="1"/>
    <col min="18" max="19" width="12" customWidth="1"/>
    <col min="20" max="20" width="10" customWidth="1"/>
    <col min="21" max="21" width="12" customWidth="1"/>
    <col min="22" max="22" width="20" customWidth="1"/>
  </cols>
  <sheetData>
    <row r="1" ht="28" customHeight="1" spans="1:22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6" customHeight="1" spans="1:22" x14ac:dyDescent="0.25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2" customHeight="1" spans="1:22" x14ac:dyDescent="0.25">
      <c r="A3" s="3" t="s">
        <v>104</v>
      </c>
      <c r="B3" s="3" t="s">
        <v>105</v>
      </c>
      <c r="C3" s="3" t="s">
        <v>16</v>
      </c>
      <c r="D3" s="3" t="s">
        <v>43</v>
      </c>
      <c r="E3" s="3" t="s">
        <v>106</v>
      </c>
      <c r="F3" s="3" t="s">
        <v>107</v>
      </c>
      <c r="G3" s="3" t="s">
        <v>108</v>
      </c>
      <c r="H3" s="3" t="s">
        <v>109</v>
      </c>
      <c r="I3" s="3" t="s">
        <v>110</v>
      </c>
      <c r="J3" s="3" t="s">
        <v>111</v>
      </c>
      <c r="K3" s="3" t="s">
        <v>112</v>
      </c>
      <c r="L3" s="3" t="s">
        <v>113</v>
      </c>
      <c r="M3" s="3" t="s">
        <v>114</v>
      </c>
      <c r="N3" s="3" t="s">
        <v>115</v>
      </c>
      <c r="O3" s="3" t="s">
        <v>116</v>
      </c>
      <c r="P3" s="3" t="s">
        <v>117</v>
      </c>
      <c r="Q3" s="3" t="s">
        <v>118</v>
      </c>
      <c r="R3" s="3" t="s">
        <v>119</v>
      </c>
      <c r="S3" s="3" t="s">
        <v>120</v>
      </c>
      <c r="T3" s="3" t="s">
        <v>121</v>
      </c>
      <c r="U3" s="3" t="s">
        <v>122</v>
      </c>
      <c r="V3" s="3" t="s">
        <v>19</v>
      </c>
    </row>
    <row r="4" spans="1:22" x14ac:dyDescent="0.25">
      <c r="A4" s="5">
        <v>1</v>
      </c>
      <c r="B4" s="9" t="s">
        <v>123</v>
      </c>
      <c r="C4" s="5" t="s">
        <v>25</v>
      </c>
      <c r="D4" s="5" t="s">
        <v>60</v>
      </c>
      <c r="E4" s="5" t="s">
        <v>87</v>
      </c>
      <c r="F4" s="12" t="s">
        <v>124</v>
      </c>
      <c r="G4" s="12" t="s">
        <v>125</v>
      </c>
      <c r="H4" s="13">
        <f>IF(TODAY()&lt;F4,"예정",IF(TODAY()&lt;=G4,"진행중","종료"))</f>
      </c>
      <c r="I4" s="14">
        <v>39000</v>
      </c>
      <c r="J4" s="14">
        <v>27300</v>
      </c>
      <c r="K4" s="15">
        <f>1-J4/I4</f>
      </c>
      <c r="L4" s="10">
        <v>1200</v>
      </c>
      <c r="M4" s="10">
        <v>1180</v>
      </c>
      <c r="N4" s="16">
        <f>J4*L4</f>
      </c>
      <c r="O4" s="16">
        <f>J4*M4</f>
      </c>
      <c r="P4" s="17">
        <v>0.15</v>
      </c>
      <c r="Q4" s="16">
        <f>IF(M4=0,N4,O4)*(1-P4)</f>
      </c>
      <c r="R4" s="11">
        <f>IFERROR(VLOOKUP(D4,셀러마스터!$A$4:$I$200,9,FALSE),0)</f>
      </c>
      <c r="S4" s="9" t="s">
        <v>126</v>
      </c>
      <c r="T4" s="9" t="s">
        <v>127</v>
      </c>
      <c r="U4" s="12" t="s">
        <v>128</v>
      </c>
      <c r="V4" s="9"/>
    </row>
    <row r="5" spans="1:22" x14ac:dyDescent="0.25">
      <c r="A5" s="5">
        <v>2</v>
      </c>
      <c r="B5" s="9" t="s">
        <v>129</v>
      </c>
      <c r="C5" s="5" t="s">
        <v>30</v>
      </c>
      <c r="D5" s="5" t="s">
        <v>66</v>
      </c>
      <c r="E5" s="5" t="s">
        <v>90</v>
      </c>
      <c r="F5" s="12" t="s">
        <v>130</v>
      </c>
      <c r="G5" s="12" t="s">
        <v>131</v>
      </c>
      <c r="H5" s="13">
        <f>IF(TODAY()&lt;F5,"예정",IF(TODAY()&lt;=G5,"진행중","종료"))</f>
      </c>
      <c r="I5" s="14">
        <v>25000</v>
      </c>
      <c r="J5" s="14">
        <v>18000</v>
      </c>
      <c r="K5" s="15">
        <f>1-J5/I5</f>
      </c>
      <c r="L5" s="10">
        <v>800</v>
      </c>
      <c r="M5" s="10">
        <v>760</v>
      </c>
      <c r="N5" s="16">
        <f>J5*L5</f>
      </c>
      <c r="O5" s="16">
        <f>J5*M5</f>
      </c>
      <c r="P5" s="17">
        <v>0.12</v>
      </c>
      <c r="Q5" s="16">
        <f>IF(M5=0,N5,O5)*(1-P5)</f>
      </c>
      <c r="R5" s="11">
        <f>IFERROR(VLOOKUP(D5,셀러마스터!$A$4:$I$200,9,FALSE),0)</f>
      </c>
      <c r="S5" s="9" t="s">
        <v>126</v>
      </c>
      <c r="T5" s="9" t="s">
        <v>132</v>
      </c>
      <c r="U5" s="12" t="s">
        <v>133</v>
      </c>
      <c r="V5" s="9"/>
    </row>
    <row r="6" spans="1:22" x14ac:dyDescent="0.25">
      <c r="A6" s="5">
        <v>3</v>
      </c>
      <c r="B6" s="9" t="s">
        <v>134</v>
      </c>
      <c r="C6" s="5" t="s">
        <v>28</v>
      </c>
      <c r="D6" s="5" t="s">
        <v>70</v>
      </c>
      <c r="E6" s="5" t="s">
        <v>94</v>
      </c>
      <c r="F6" s="12" t="s">
        <v>135</v>
      </c>
      <c r="G6" s="12" t="s">
        <v>136</v>
      </c>
      <c r="H6" s="13">
        <f>IF(TODAY()&lt;F6,"예정",IF(TODAY()&lt;=G6,"진행중","종료"))</f>
      </c>
      <c r="I6" s="14">
        <v>22000</v>
      </c>
      <c r="J6" s="14">
        <v>15800</v>
      </c>
      <c r="K6" s="15">
        <f>1-J6/I6</f>
      </c>
      <c r="L6" s="10">
        <v>1500</v>
      </c>
      <c r="M6" s="10">
        <v>950</v>
      </c>
      <c r="N6" s="16">
        <f>J6*L6</f>
      </c>
      <c r="O6" s="16">
        <f>J6*M6</f>
      </c>
      <c r="P6" s="17">
        <v>0.1</v>
      </c>
      <c r="Q6" s="16">
        <f>IF(M6=0,N6,O6)*(1-P6)</f>
      </c>
      <c r="R6" s="11">
        <f>IFERROR(VLOOKUP(D6,셀러마스터!$A$4:$I$200,9,FALSE),0)</f>
      </c>
      <c r="S6" s="9" t="s">
        <v>126</v>
      </c>
      <c r="T6" s="9" t="s">
        <v>137</v>
      </c>
      <c r="U6" s="12" t="s">
        <v>138</v>
      </c>
      <c r="V6" s="9"/>
    </row>
    <row r="7" spans="1:22" x14ac:dyDescent="0.25">
      <c r="A7" s="5">
        <v>4</v>
      </c>
      <c r="B7" s="9" t="s">
        <v>139</v>
      </c>
      <c r="C7" s="5" t="s">
        <v>20</v>
      </c>
      <c r="D7" s="5" t="s">
        <v>54</v>
      </c>
      <c r="E7" s="5" t="s">
        <v>84</v>
      </c>
      <c r="F7" s="12" t="s">
        <v>136</v>
      </c>
      <c r="G7" s="12" t="s">
        <v>140</v>
      </c>
      <c r="H7" s="13">
        <f>IF(TODAY()&lt;F7,"예정",IF(TODAY()&lt;=G7,"진행중","종료"))</f>
      </c>
      <c r="I7" s="14">
        <v>42000</v>
      </c>
      <c r="J7" s="14">
        <v>29900</v>
      </c>
      <c r="K7" s="15">
        <f>1-J7/I7</f>
      </c>
      <c r="L7" s="10">
        <v>2000</v>
      </c>
      <c r="M7" s="10">
        <v>0</v>
      </c>
      <c r="N7" s="16">
        <f>J7*L7</f>
      </c>
      <c r="O7" s="16">
        <f>J7*M7</f>
      </c>
      <c r="P7" s="17">
        <v>0.15</v>
      </c>
      <c r="Q7" s="16">
        <f>IF(M7=0,N7,O7)*(1-P7)</f>
      </c>
      <c r="R7" s="11">
        <f>IFERROR(VLOOKUP(D7,셀러마스터!$A$4:$I$200,9,FALSE),0)</f>
      </c>
      <c r="S7" s="9" t="s">
        <v>126</v>
      </c>
      <c r="T7" s="9" t="s">
        <v>127</v>
      </c>
      <c r="U7" s="12" t="s">
        <v>141</v>
      </c>
      <c r="V7" s="9"/>
    </row>
    <row r="8" spans="1:22" x14ac:dyDescent="0.25">
      <c r="A8" s="5">
        <v>5</v>
      </c>
      <c r="B8" s="9" t="s">
        <v>142</v>
      </c>
      <c r="C8" s="5" t="s">
        <v>33</v>
      </c>
      <c r="D8" s="5" t="s">
        <v>74</v>
      </c>
      <c r="E8" s="5" t="s">
        <v>87</v>
      </c>
      <c r="F8" s="12" t="s">
        <v>143</v>
      </c>
      <c r="G8" s="12" t="s">
        <v>144</v>
      </c>
      <c r="H8" s="13">
        <f>IF(TODAY()&lt;F8,"예정",IF(TODAY()&lt;=G8,"진행중","종료"))</f>
      </c>
      <c r="I8" s="14">
        <v>189000</v>
      </c>
      <c r="J8" s="14">
        <v>139000</v>
      </c>
      <c r="K8" s="15">
        <f>1-J8/I8</f>
      </c>
      <c r="L8" s="10">
        <v>300</v>
      </c>
      <c r="M8" s="10">
        <v>0</v>
      </c>
      <c r="N8" s="16">
        <f>J8*L8</f>
      </c>
      <c r="O8" s="16">
        <f>J8*M8</f>
      </c>
      <c r="P8" s="17">
        <v>0.1</v>
      </c>
      <c r="Q8" s="16">
        <f>IF(M8=0,N8,O8)*(1-P8)</f>
      </c>
      <c r="R8" s="11">
        <f>IFERROR(VLOOKUP(D8,셀러마스터!$A$4:$I$200,9,FALSE),0)</f>
      </c>
      <c r="S8" s="9" t="s">
        <v>126</v>
      </c>
      <c r="T8" s="9" t="s">
        <v>132</v>
      </c>
      <c r="U8" s="12" t="s">
        <v>145</v>
      </c>
      <c r="V8" s="9"/>
    </row>
    <row r="9" spans="1:22" x14ac:dyDescent="0.25">
      <c r="A9" s="5">
        <v>6</v>
      </c>
      <c r="B9" s="9" t="s">
        <v>146</v>
      </c>
      <c r="C9" s="5" t="s">
        <v>25</v>
      </c>
      <c r="D9" s="5" t="s">
        <v>60</v>
      </c>
      <c r="E9" s="5" t="s">
        <v>87</v>
      </c>
      <c r="F9" s="12" t="s">
        <v>147</v>
      </c>
      <c r="G9" s="12" t="s">
        <v>148</v>
      </c>
      <c r="H9" s="13">
        <f>IF(TODAY()&lt;F9,"예정",IF(TODAY()&lt;=G9,"진행중","종료"))</f>
      </c>
      <c r="I9" s="14">
        <v>48000</v>
      </c>
      <c r="J9" s="14">
        <v>34900</v>
      </c>
      <c r="K9" s="15">
        <f>1-J9/I9</f>
      </c>
      <c r="L9" s="10">
        <v>1000</v>
      </c>
      <c r="M9" s="10">
        <v>0</v>
      </c>
      <c r="N9" s="16">
        <f>J9*L9</f>
      </c>
      <c r="O9" s="16">
        <f>J9*M9</f>
      </c>
      <c r="P9" s="17">
        <v>0.15</v>
      </c>
      <c r="Q9" s="16">
        <f>IF(M9=0,N9,O9)*(1-P9)</f>
      </c>
      <c r="R9" s="11">
        <f>IFERROR(VLOOKUP(D9,셀러마스터!$A$4:$I$200,9,FALSE),0)</f>
      </c>
      <c r="S9" s="9" t="s">
        <v>126</v>
      </c>
      <c r="T9" s="9" t="s">
        <v>137</v>
      </c>
      <c r="U9" s="12" t="s">
        <v>149</v>
      </c>
      <c r="V9" s="9"/>
    </row>
  </sheetData>
  <mergeCells count="2">
    <mergeCell ref="A1:V1"/>
    <mergeCell ref="A2:V2"/>
  </mergeCells>
  <dataValidations count="4">
    <dataValidation type="list" allowBlank="1" sqref="C4:C500">
      <formula1>카테고리마스터!$A$4:$A$100</formula1>
    </dataValidation>
    <dataValidation type="list" allowBlank="1" sqref="D4:D500">
      <formula1>셀러마스터!$A$4:$A$200</formula1>
    </dataValidation>
    <dataValidation type="list" allowBlank="1" sqref="E4:E500">
      <formula1>채널마스터!$A$4:$A$200</formula1>
    </dataValidation>
    <dataValidation type="list" allowBlank="1" sqref="S4:S500">
      <formula1>"수동입력,인스타링크 자동입력,유튜브API,네이버API,기타"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1:J8"/>
  <sheetFormatPr defaultRowHeight="15" outlineLevelRow="0" outlineLevelCol="0" x14ac:dyDescent="55"/>
  <cols>
    <col min="1" max="1" width="5" customWidth="1"/>
    <col min="2" max="2" width="20" customWidth="1"/>
    <col min="3" max="3" width="11" customWidth="1"/>
    <col min="4" max="4" width="12" customWidth="1"/>
    <col min="5" max="5" width="18" customWidth="1"/>
    <col min="6" max="6" width="16" customWidth="1"/>
    <col min="7" max="7" width="14" customWidth="1"/>
    <col min="8" max="8" width="12" customWidth="1"/>
    <col min="9" max="9" width="14" customWidth="1"/>
    <col min="10" max="10" width="24" customWidth="1"/>
  </cols>
  <sheetData>
    <row r="1" ht="28" customHeight="1" spans="1:10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151</v>
      </c>
      <c r="B2" s="2"/>
      <c r="C2" s="2"/>
      <c r="D2" s="2"/>
      <c r="E2" s="2"/>
      <c r="F2" s="2"/>
      <c r="G2" s="2"/>
      <c r="H2" s="2"/>
      <c r="I2" s="2"/>
      <c r="J2" s="2"/>
    </row>
    <row r="3" ht="32" customHeight="1" spans="1:10" x14ac:dyDescent="0.25">
      <c r="A3" s="3" t="s">
        <v>104</v>
      </c>
      <c r="B3" s="3" t="s">
        <v>152</v>
      </c>
      <c r="C3" s="3" t="s">
        <v>16</v>
      </c>
      <c r="D3" s="3" t="s">
        <v>81</v>
      </c>
      <c r="E3" s="3" t="s">
        <v>82</v>
      </c>
      <c r="F3" s="3" t="s">
        <v>153</v>
      </c>
      <c r="G3" s="3" t="s">
        <v>154</v>
      </c>
      <c r="H3" s="3" t="s">
        <v>155</v>
      </c>
      <c r="I3" s="3" t="s">
        <v>120</v>
      </c>
      <c r="J3" s="3" t="s">
        <v>19</v>
      </c>
    </row>
    <row r="4" spans="1:9" x14ac:dyDescent="0.25">
      <c r="A4" s="5">
        <v>1</v>
      </c>
      <c r="B4" s="9" t="s">
        <v>156</v>
      </c>
      <c r="C4" s="9" t="s">
        <v>25</v>
      </c>
      <c r="D4" s="9" t="s">
        <v>157</v>
      </c>
      <c r="E4" s="9" t="s">
        <v>158</v>
      </c>
      <c r="F4" s="9" t="s">
        <v>159</v>
      </c>
      <c r="G4" s="18">
        <v>78</v>
      </c>
      <c r="H4" s="19" t="s">
        <v>136</v>
      </c>
      <c r="I4" s="9" t="s">
        <v>126</v>
      </c>
    </row>
    <row r="5" spans="1:9" x14ac:dyDescent="0.25">
      <c r="A5" s="5">
        <v>2</v>
      </c>
      <c r="B5" s="9" t="s">
        <v>160</v>
      </c>
      <c r="C5" s="9" t="s">
        <v>33</v>
      </c>
      <c r="D5" s="9" t="s">
        <v>161</v>
      </c>
      <c r="E5" s="9" t="s">
        <v>162</v>
      </c>
      <c r="F5" s="9" t="s">
        <v>163</v>
      </c>
      <c r="G5" s="18">
        <v>65</v>
      </c>
      <c r="H5" s="19" t="s">
        <v>164</v>
      </c>
      <c r="I5" s="9" t="s">
        <v>126</v>
      </c>
    </row>
    <row r="6" spans="1:9" x14ac:dyDescent="0.25">
      <c r="A6" s="5">
        <v>3</v>
      </c>
      <c r="B6" s="9" t="s">
        <v>165</v>
      </c>
      <c r="C6" s="9" t="s">
        <v>28</v>
      </c>
      <c r="D6" s="9" t="s">
        <v>157</v>
      </c>
      <c r="E6" s="9" t="s">
        <v>158</v>
      </c>
      <c r="F6" s="9" t="s">
        <v>159</v>
      </c>
      <c r="G6" s="18">
        <v>58</v>
      </c>
      <c r="H6" s="19" t="s">
        <v>145</v>
      </c>
      <c r="I6" s="9" t="s">
        <v>126</v>
      </c>
    </row>
    <row r="7" spans="1:9" x14ac:dyDescent="0.25">
      <c r="A7" s="5">
        <v>4</v>
      </c>
      <c r="B7" s="9" t="s">
        <v>166</v>
      </c>
      <c r="C7" s="9" t="s">
        <v>20</v>
      </c>
      <c r="D7" s="9" t="s">
        <v>167</v>
      </c>
      <c r="E7" s="9" t="s">
        <v>168</v>
      </c>
      <c r="F7" s="9" t="s">
        <v>169</v>
      </c>
      <c r="G7" s="18">
        <v>70</v>
      </c>
      <c r="H7" s="19" t="s">
        <v>170</v>
      </c>
      <c r="I7" s="9" t="s">
        <v>126</v>
      </c>
    </row>
    <row r="8" spans="1:9" x14ac:dyDescent="0.25">
      <c r="A8" s="5">
        <v>5</v>
      </c>
      <c r="B8" s="9" t="s">
        <v>171</v>
      </c>
      <c r="C8" s="9" t="s">
        <v>30</v>
      </c>
      <c r="D8" s="9" t="s">
        <v>161</v>
      </c>
      <c r="E8" s="9" t="s">
        <v>172</v>
      </c>
      <c r="F8" s="9" t="s">
        <v>173</v>
      </c>
      <c r="G8" s="18">
        <v>60</v>
      </c>
      <c r="H8" s="19" t="s">
        <v>141</v>
      </c>
      <c r="I8" s="9" t="s">
        <v>126</v>
      </c>
    </row>
  </sheetData>
  <mergeCells count="2">
    <mergeCell ref="A1:J1"/>
    <mergeCell ref="A2:J2"/>
  </mergeCells>
  <dataValidations count="3">
    <dataValidation type="list" allowBlank="1" sqref="C4:C500">
      <formula1>카테고리마스터!$A$4:$A$100</formula1>
    </dataValidation>
    <dataValidation type="list" allowBlank="1" sqref="D4:D500">
      <formula1>"오픈마켓,홈쇼핑,검색트렌드,기타"</formula1>
    </dataValidation>
    <dataValidation type="list" allowBlank="1" sqref="I4:I500">
      <formula1>"수동입력,유튜브API,네이버API,쿠팡API,기타"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G11"/>
  <sheetFormatPr defaultRowHeight="15" outlineLevelRow="0" outlineLevelCol="0" x14ac:dyDescent="55"/>
  <cols>
    <col min="1" max="1" width="12" customWidth="1"/>
    <col min="2" max="2" width="20" customWidth="1"/>
    <col min="3" max="4" width="16" customWidth="1"/>
    <col min="5" max="5" width="14" customWidth="1"/>
    <col min="6" max="6" width="18" customWidth="1"/>
    <col min="7" max="7" width="8" customWidth="1"/>
  </cols>
  <sheetData>
    <row r="1" ht="28" customHeight="1" spans="1:6" x14ac:dyDescent="0.25">
      <c r="A1" s="1" t="s">
        <v>174</v>
      </c>
      <c r="B1" s="1"/>
      <c r="C1" s="1"/>
      <c r="D1" s="1"/>
      <c r="E1" s="1"/>
      <c r="F1" s="1"/>
    </row>
    <row r="2" ht="16" customHeight="1" spans="1:6" x14ac:dyDescent="0.25">
      <c r="A2" s="2" t="s">
        <v>175</v>
      </c>
      <c r="B2" s="2"/>
      <c r="C2" s="2"/>
      <c r="D2" s="2"/>
      <c r="E2" s="2"/>
      <c r="F2" s="2"/>
    </row>
    <row r="3" ht="32" customHeight="1" spans="1:7" x14ac:dyDescent="0.25">
      <c r="A3" s="3" t="s">
        <v>16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50</v>
      </c>
    </row>
    <row r="4" spans="1:7" x14ac:dyDescent="0.25">
      <c r="A4" s="13">
        <f>카테고리마스터!A4</f>
      </c>
      <c r="B4" s="20">
        <f>IFERROR(카테고리마스터!C4,"")</f>
      </c>
      <c r="C4" s="21">
        <f>IFERROR(AVERAGEIF(공동구매마스터!$C$4:$C$500,A4,공동구매마스터!$R$4:$R$500),0)</f>
      </c>
      <c r="D4" s="21">
        <f>MIN(100,MAX(0,50+(COUNTIFS(공동구매마스터!$C$4:$C$500,A4,공동구매마스터!$F$4:$F$500,"&gt;="&amp;EDATE(TODAY(),-3))-COUNTIFS(공동구매마스터!$C$4:$C$500,A4,공동구매마스터!$F$4:$F$500,"&gt;="&amp;EDATE(TODAY(),-6),공동구매마스터!$F$4:$F$500,"&lt;"&amp;EDATE(TODAY(),-3)))*10))</f>
      </c>
      <c r="E4" s="21">
        <f>IFERROR(AVERAGEIF(시장수요트래킹!$C$4:$C$500,A4,시장수요트래킹!$G$4:$G$500),0)</f>
      </c>
      <c r="F4" s="22">
        <f>C4*기본가정!$B$5+D4*기본가정!$B$6+E4*기본가정!$B$7</f>
      </c>
      <c r="G4" s="23">
        <f>IF(F4&gt;=80,"S",IF(F4&gt;=60,"A",IF(F4&gt;=40,"B","C")))</f>
      </c>
    </row>
    <row r="5" spans="1:7" x14ac:dyDescent="0.25">
      <c r="A5" s="13">
        <f>카테고리마스터!A5</f>
      </c>
      <c r="B5" s="20">
        <f>IFERROR(카테고리마스터!C5,"")</f>
      </c>
      <c r="C5" s="21">
        <f>IFERROR(AVERAGEIF(공동구매마스터!$C$4:$C$500,A5,공동구매마스터!$R$4:$R$500),0)</f>
      </c>
      <c r="D5" s="21">
        <f>MIN(100,MAX(0,50+(COUNTIFS(공동구매마스터!$C$4:$C$500,A5,공동구매마스터!$F$4:$F$500,"&gt;="&amp;EDATE(TODAY(),-3))-COUNTIFS(공동구매마스터!$C$4:$C$500,A5,공동구매마스터!$F$4:$F$500,"&gt;="&amp;EDATE(TODAY(),-6),공동구매마스터!$F$4:$F$500,"&lt;"&amp;EDATE(TODAY(),-3)))*10))</f>
      </c>
      <c r="E5" s="21">
        <f>IFERROR(AVERAGEIF(시장수요트래킹!$C$4:$C$500,A5,시장수요트래킹!$G$4:$G$500),0)</f>
      </c>
      <c r="F5" s="22">
        <f>C5*기본가정!$B$5+D5*기본가정!$B$6+E5*기본가정!$B$7</f>
      </c>
      <c r="G5" s="23">
        <f>IF(F5&gt;=80,"S",IF(F5&gt;=60,"A",IF(F5&gt;=40,"B","C")))</f>
      </c>
    </row>
    <row r="6" spans="1:7" x14ac:dyDescent="0.25">
      <c r="A6" s="13">
        <f>카테고리마스터!A6</f>
      </c>
      <c r="B6" s="20">
        <f>IFERROR(카테고리마스터!C6,"")</f>
      </c>
      <c r="C6" s="21">
        <f>IFERROR(AVERAGEIF(공동구매마스터!$C$4:$C$500,A6,공동구매마스터!$R$4:$R$500),0)</f>
      </c>
      <c r="D6" s="21">
        <f>MIN(100,MAX(0,50+(COUNTIFS(공동구매마스터!$C$4:$C$500,A6,공동구매마스터!$F$4:$F$500,"&gt;="&amp;EDATE(TODAY(),-3))-COUNTIFS(공동구매마스터!$C$4:$C$500,A6,공동구매마스터!$F$4:$F$500,"&gt;="&amp;EDATE(TODAY(),-6),공동구매마스터!$F$4:$F$500,"&lt;"&amp;EDATE(TODAY(),-3)))*10))</f>
      </c>
      <c r="E6" s="21">
        <f>IFERROR(AVERAGEIF(시장수요트래킹!$C$4:$C$500,A6,시장수요트래킹!$G$4:$G$500),0)</f>
      </c>
      <c r="F6" s="22">
        <f>C6*기본가정!$B$5+D6*기본가정!$B$6+E6*기본가정!$B$7</f>
      </c>
      <c r="G6" s="23">
        <f>IF(F6&gt;=80,"S",IF(F6&gt;=60,"A",IF(F6&gt;=40,"B","C")))</f>
      </c>
    </row>
    <row r="7" spans="1:7" x14ac:dyDescent="0.25">
      <c r="A7" s="13">
        <f>카테고리마스터!A7</f>
      </c>
      <c r="B7" s="20">
        <f>IFERROR(카테고리마스터!C7,"")</f>
      </c>
      <c r="C7" s="21">
        <f>IFERROR(AVERAGEIF(공동구매마스터!$C$4:$C$500,A7,공동구매마스터!$R$4:$R$500),0)</f>
      </c>
      <c r="D7" s="21">
        <f>MIN(100,MAX(0,50+(COUNTIFS(공동구매마스터!$C$4:$C$500,A7,공동구매마스터!$F$4:$F$500,"&gt;="&amp;EDATE(TODAY(),-3))-COUNTIFS(공동구매마스터!$C$4:$C$500,A7,공동구매마스터!$F$4:$F$500,"&gt;="&amp;EDATE(TODAY(),-6),공동구매마스터!$F$4:$F$500,"&lt;"&amp;EDATE(TODAY(),-3)))*10))</f>
      </c>
      <c r="E7" s="21">
        <f>IFERROR(AVERAGEIF(시장수요트래킹!$C$4:$C$500,A7,시장수요트래킹!$G$4:$G$500),0)</f>
      </c>
      <c r="F7" s="22">
        <f>C7*기본가정!$B$5+D7*기본가정!$B$6+E7*기본가정!$B$7</f>
      </c>
      <c r="G7" s="23">
        <f>IF(F7&gt;=80,"S",IF(F7&gt;=60,"A",IF(F7&gt;=40,"B","C")))</f>
      </c>
    </row>
    <row r="8" spans="1:7" x14ac:dyDescent="0.25">
      <c r="A8" s="13">
        <f>카테고리마스터!A8</f>
      </c>
      <c r="B8" s="20">
        <f>IFERROR(카테고리마스터!C8,"")</f>
      </c>
      <c r="C8" s="21">
        <f>IFERROR(AVERAGEIF(공동구매마스터!$C$4:$C$500,A8,공동구매마스터!$R$4:$R$500),0)</f>
      </c>
      <c r="D8" s="21">
        <f>MIN(100,MAX(0,50+(COUNTIFS(공동구매마스터!$C$4:$C$500,A8,공동구매마스터!$F$4:$F$500,"&gt;="&amp;EDATE(TODAY(),-3))-COUNTIFS(공동구매마스터!$C$4:$C$500,A8,공동구매마스터!$F$4:$F$500,"&gt;="&amp;EDATE(TODAY(),-6),공동구매마스터!$F$4:$F$500,"&lt;"&amp;EDATE(TODAY(),-3)))*10))</f>
      </c>
      <c r="E8" s="21">
        <f>IFERROR(AVERAGEIF(시장수요트래킹!$C$4:$C$500,A8,시장수요트래킹!$G$4:$G$500),0)</f>
      </c>
      <c r="F8" s="22">
        <f>C8*기본가정!$B$5+D8*기본가정!$B$6+E8*기본가정!$B$7</f>
      </c>
      <c r="G8" s="23">
        <f>IF(F8&gt;=80,"S",IF(F8&gt;=60,"A",IF(F8&gt;=40,"B","C")))</f>
      </c>
    </row>
    <row r="9" spans="1:7" x14ac:dyDescent="0.25">
      <c r="A9" s="13">
        <f>카테고리마스터!A9</f>
      </c>
      <c r="B9" s="20">
        <f>IFERROR(카테고리마스터!C9,"")</f>
      </c>
      <c r="C9" s="21">
        <f>IFERROR(AVERAGEIF(공동구매마스터!$C$4:$C$500,A9,공동구매마스터!$R$4:$R$500),0)</f>
      </c>
      <c r="D9" s="21">
        <f>MIN(100,MAX(0,50+(COUNTIFS(공동구매마스터!$C$4:$C$500,A9,공동구매마스터!$F$4:$F$500,"&gt;="&amp;EDATE(TODAY(),-3))-COUNTIFS(공동구매마스터!$C$4:$C$500,A9,공동구매마스터!$F$4:$F$500,"&gt;="&amp;EDATE(TODAY(),-6),공동구매마스터!$F$4:$F$500,"&lt;"&amp;EDATE(TODAY(),-3)))*10))</f>
      </c>
      <c r="E9" s="21">
        <f>IFERROR(AVERAGEIF(시장수요트래킹!$C$4:$C$500,A9,시장수요트래킹!$G$4:$G$500),0)</f>
      </c>
      <c r="F9" s="22">
        <f>C9*기본가정!$B$5+D9*기본가정!$B$6+E9*기본가정!$B$7</f>
      </c>
      <c r="G9" s="23">
        <f>IF(F9&gt;=80,"S",IF(F9&gt;=60,"A",IF(F9&gt;=40,"B","C")))</f>
      </c>
    </row>
    <row r="10" spans="1:7" x14ac:dyDescent="0.25">
      <c r="A10" s="13">
        <f>카테고리마스터!A10</f>
      </c>
      <c r="B10" s="20">
        <f>IFERROR(카테고리마스터!C10,"")</f>
      </c>
      <c r="C10" s="21">
        <f>IFERROR(AVERAGEIF(공동구매마스터!$C$4:$C$500,A10,공동구매마스터!$R$4:$R$500),0)</f>
      </c>
      <c r="D10" s="21">
        <f>MIN(100,MAX(0,50+(COUNTIFS(공동구매마스터!$C$4:$C$500,A10,공동구매마스터!$F$4:$F$500,"&gt;="&amp;EDATE(TODAY(),-3))-COUNTIFS(공동구매마스터!$C$4:$C$500,A10,공동구매마스터!$F$4:$F$500,"&gt;="&amp;EDATE(TODAY(),-6),공동구매마스터!$F$4:$F$500,"&lt;"&amp;EDATE(TODAY(),-3)))*10))</f>
      </c>
      <c r="E10" s="21">
        <f>IFERROR(AVERAGEIF(시장수요트래킹!$C$4:$C$500,A10,시장수요트래킹!$G$4:$G$500),0)</f>
      </c>
      <c r="F10" s="22">
        <f>C10*기본가정!$B$5+D10*기본가정!$B$6+E10*기본가정!$B$7</f>
      </c>
      <c r="G10" s="23">
        <f>IF(F10&gt;=80,"S",IF(F10&gt;=60,"A",IF(F10&gt;=40,"B","C")))</f>
      </c>
    </row>
    <row r="11" spans="1:7" x14ac:dyDescent="0.25">
      <c r="A11" s="13">
        <f>카테고리마스터!A11</f>
      </c>
      <c r="B11" s="20">
        <f>IFERROR(카테고리마스터!C11,"")</f>
      </c>
      <c r="C11" s="21">
        <f>IFERROR(AVERAGEIF(공동구매마스터!$C$4:$C$500,A11,공동구매마스터!$R$4:$R$500),0)</f>
      </c>
      <c r="D11" s="21">
        <f>MIN(100,MAX(0,50+(COUNTIFS(공동구매마스터!$C$4:$C$500,A11,공동구매마스터!$F$4:$F$500,"&gt;="&amp;EDATE(TODAY(),-3))-COUNTIFS(공동구매마스터!$C$4:$C$500,A11,공동구매마스터!$F$4:$F$500,"&gt;="&amp;EDATE(TODAY(),-6),공동구매마스터!$F$4:$F$500,"&lt;"&amp;EDATE(TODAY(),-3)))*10))</f>
      </c>
      <c r="E11" s="21">
        <f>IFERROR(AVERAGEIF(시장수요트래킹!$C$4:$C$500,A11,시장수요트래킹!$G$4:$G$500),0)</f>
      </c>
      <c r="F11" s="22">
        <f>C11*기본가정!$B$5+D11*기본가정!$B$6+E11*기본가정!$B$7</f>
      </c>
      <c r="G11" s="23">
        <f>IF(F11&gt;=80,"S",IF(F11&gt;=60,"A",IF(F11&gt;=40,"B","C")))</f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9"/>
  <sheetFormatPr defaultRowHeight="15" outlineLevelRow="0" outlineLevelCol="0" x14ac:dyDescent="55"/>
  <cols>
    <col min="1" max="1" width="26" customWidth="1"/>
    <col min="2" max="2" width="18" customWidth="1"/>
    <col min="3" max="3" width="30" customWidth="1"/>
  </cols>
  <sheetData>
    <row r="1" ht="28" customHeight="1" spans="1:4" x14ac:dyDescent="0.25">
      <c r="A1" s="1" t="s">
        <v>181</v>
      </c>
      <c r="B1" s="1"/>
      <c r="C1" s="1"/>
      <c r="D1" s="1"/>
    </row>
    <row r="2" ht="16" customHeight="1" spans="1:4" x14ac:dyDescent="0.25">
      <c r="A2" s="2" t="s">
        <v>182</v>
      </c>
      <c r="B2" s="2"/>
      <c r="C2" s="2"/>
      <c r="D2" s="2"/>
    </row>
    <row r="3" ht="32" customHeight="1" spans="1:3" x14ac:dyDescent="0.25">
      <c r="A3" s="3" t="s">
        <v>183</v>
      </c>
      <c r="B3" s="3" t="s">
        <v>3</v>
      </c>
      <c r="C3" s="3" t="s">
        <v>19</v>
      </c>
    </row>
    <row r="4" spans="1:3" x14ac:dyDescent="0.25">
      <c r="A4" s="4" t="s">
        <v>184</v>
      </c>
      <c r="B4" s="24">
        <f>COUNTIF(공동구매마스터!$H$4:$H$500,"진행중")</f>
      </c>
      <c r="C4" s="6"/>
    </row>
    <row r="5" spans="1:3" x14ac:dyDescent="0.25">
      <c r="A5" s="4" t="s">
        <v>185</v>
      </c>
      <c r="B5" s="24">
        <f>COUNTIF(공동구매마스터!$H$4:$H$500,"예정")</f>
      </c>
      <c r="C5" s="6"/>
    </row>
    <row r="6" spans="1:3" x14ac:dyDescent="0.25">
      <c r="A6" s="4" t="s">
        <v>186</v>
      </c>
      <c r="B6" s="24">
        <f>COUNTIF(공동구매마스터!$H$4:$H$500,"종료")</f>
      </c>
      <c r="C6" s="6"/>
    </row>
    <row r="7" spans="1:3" x14ac:dyDescent="0.25">
      <c r="A7" s="4" t="s">
        <v>187</v>
      </c>
      <c r="B7" s="24">
        <f>COUNTA(셀러마스터!$A$4:$A$200)</f>
      </c>
      <c r="C7" s="6"/>
    </row>
    <row r="8" spans="1:3" x14ac:dyDescent="0.25">
      <c r="A8" s="4" t="s">
        <v>188</v>
      </c>
      <c r="B8" s="24">
        <f>SUMPRODUCT((TEXT(공동구매마스터!$F$4:$F$500,"YYYY-MM")=TEXT(TODAY(),"YYYY-MM"))*공동구매마스터!$O$4:$O$500)</f>
      </c>
      <c r="C8" s="6"/>
    </row>
    <row r="9" spans="1:3" x14ac:dyDescent="0.25">
      <c r="A9" s="4" t="s">
        <v>189</v>
      </c>
      <c r="B9" s="24">
        <f>COUNTIF(예측점수!$G$4:$G$11,"S")</f>
      </c>
      <c r="C9" s="6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기본가정</vt:lpstr>
      <vt:lpstr>카테고리마스터</vt:lpstr>
      <vt:lpstr>셀러마스터</vt:lpstr>
      <vt:lpstr>채널마스터</vt:lpstr>
      <vt:lpstr>공동구매마스터</vt:lpstr>
      <vt:lpstr>시장수요트래킹</vt:lpstr>
      <vt:lpstr>예측점수</vt:lpstr>
      <vt:lpstr>대시보드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BEAUNESS</dc:creator>
  <dc:title/>
  <dc:subject/>
  <dc:description/>
  <cp:keywords/>
  <cp:category/>
  <cp:lastModifiedBy>Unknown</cp:lastModifiedBy>
  <dcterms:created xsi:type="dcterms:W3CDTF">2026-08-25T03:55:40Z</dcterms:created>
  <dcterms:modified xsi:type="dcterms:W3CDTF">2026-08-25T03:55:40Z</dcterms:modified>
</cp:coreProperties>
</file>